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 lowestEdited="4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Read Me" sheetId="1" state="visible" r:id="rId3"/>
    <sheet name="Universe" sheetId="2" state="visible" r:id="rId4"/>
    <sheet name="Scoring Formula" sheetId="3" state="visible" r:id="rId5"/>
    <sheet name="Current Scores" sheetId="4" state="visible" r:id="rId6"/>
    <sheet name="Backtest Results" sheetId="5" state="visible" r:id="rId7"/>
    <sheet name="Risk Rules" sheetId="6" state="visible" r:id="rId8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<sst xmlns="http://schemas.openxmlformats.org/spreadsheetml/2006/main" count="204" uniqueCount="157">
  <si>
    <t xml:space="preserve">DAY TRADING MOMENTUM SCREEN - ULTRA-PRICED US LARGE CAPS</t>
  </si>
  <si>
    <t xml:space="preserve">Prepared for: Phani  |  Data: Yahoo Finance daily OHLCV, 1 year through 30-Jul-2026  |  Trade structure tested: buy next open, sell next close</t>
  </si>
  <si>
    <t xml:space="preserve">THE HONEST VERDICT - READ THIS FIRST</t>
  </si>
  <si>
    <t xml:space="preserve">You asked for a formula with a 100% success rate. No such formula exists, and this workbook proves it with data instead of pretending.</t>
  </si>
  <si>
    <t xml:space="preserve">A 6-factor momentum score (0-100) was built and backtested over 1 year across 8 ultra-priced US stocks (1,832 stock-days).</t>
  </si>
  <si>
    <t xml:space="preserve">RESULT: signal days won 47-49% of the time - no better than a coin flip, and negative after costs at every score threshold.</t>
  </si>
  <si>
    <t xml:space="preserve">Five alternative rules (overnight hold, mean reversion, gap filters) were also tested. Best case: 51.0% win rate - statistically zero edge.</t>
  </si>
  <si>
    <t xml:space="preserve">Conclusion: next-day direction in these names CANNOT be predicted from daily price/volume momentum. Anyone selling you such a formula is selling noise.</t>
  </si>
  <si>
    <t xml:space="preserve">WHAT THIS WORKBOOK IS STILL GOOD FOR</t>
  </si>
  <si>
    <t xml:space="preserve">1. 'Universe' - the definitive list of US stocks that actually move $100+/day per share, with liquidity screens.</t>
  </si>
  <si>
    <t xml:space="preserve">2. 'Scoring Formula' - a transparent momentum score you can compute yourself; useful for RANKING which stock is in gear, not for predicting tomorrow.</t>
  </si>
  <si>
    <t xml:space="preserve">3. 'Current Scores' - today's scores computed on live data (30-Jul-2026 close).</t>
  </si>
  <si>
    <t xml:space="preserve">4. 'Backtest Results' - the full, unfiltered evidence, including per-ticker detail.</t>
  </si>
  <si>
    <t xml:space="preserve">5. 'Risk Rules' - the math that actually decides whether a day trader survives: position sizing, stops, and the PDT rule.</t>
  </si>
  <si>
    <t xml:space="preserve">IMPORTANT DISCLAIMER</t>
  </si>
  <si>
    <t xml:space="preserve">This is educational analysis, not investment advice. I am not a licensed financial advisor. Day trading ultra-priced volatile stocks with $25,000+ per trade can produce losses of $1,000-2,500 in a single day (see 'Backtest Results' worst-trade column). Past data, even honestly analyzed, does not guarantee future results.</t>
  </si>
  <si>
    <t xml:space="preserve">Screen of 20 candidate high-priced US stocks - which ones really fluctuate $100+/day?</t>
  </si>
  <si>
    <t xml:space="preserve">Blue = hardcoded from Yahoo Finance daily data (1yr through 30-Jul-2026). Black = formula.</t>
  </si>
  <si>
    <t xml:space="preserve">Ticker</t>
  </si>
  <si>
    <t xml:space="preserve">Last close ($)</t>
  </si>
  <si>
    <t xml:space="preserve">Avg daily range ($/sh, 1yr)</t>
  </si>
  <si>
    <t xml:space="preserve">Avg daily range (%)</t>
  </si>
  <si>
    <t xml:space="preserve">Avg $ volume ($M/day)</t>
  </si>
  <si>
    <t xml:space="preserve">Passes $100+ range?</t>
  </si>
  <si>
    <t xml:space="preserve">Liquid (&gt;$100M/day)?</t>
  </si>
  <si>
    <t xml:space="preserve">Verdict</t>
  </si>
  <si>
    <t xml:space="preserve">NVR</t>
  </si>
  <si>
    <t xml:space="preserve">In final universe - only strict qualifier</t>
  </si>
  <si>
    <t xml:space="preserve">SEB</t>
  </si>
  <si>
    <t xml:space="preserve">EXCLUDED - too illiquid to day trade</t>
  </si>
  <si>
    <t xml:space="preserve">AZO</t>
  </si>
  <si>
    <t xml:space="preserve">In final universe</t>
  </si>
  <si>
    <t xml:space="preserve">MELI</t>
  </si>
  <si>
    <t xml:space="preserve">FCNCA</t>
  </si>
  <si>
    <t xml:space="preserve">FICO</t>
  </si>
  <si>
    <t xml:space="preserve">WTM</t>
  </si>
  <si>
    <t xml:space="preserve">EXCLUDED - too illiquid</t>
  </si>
  <si>
    <t xml:space="preserve">MKL</t>
  </si>
  <si>
    <t xml:space="preserve">MTD</t>
  </si>
  <si>
    <t xml:space="preserve">TDG</t>
  </si>
  <si>
    <t xml:space="preserve">LLY</t>
  </si>
  <si>
    <t xml:space="preserve">Below range cut</t>
  </si>
  <si>
    <t xml:space="preserve">GS</t>
  </si>
  <si>
    <t xml:space="preserve">COST</t>
  </si>
  <si>
    <t xml:space="preserve">META</t>
  </si>
  <si>
    <t xml:space="preserve">TPL</t>
  </si>
  <si>
    <t xml:space="preserve">AVGO</t>
  </si>
  <si>
    <t xml:space="preserve">MSTR</t>
  </si>
  <si>
    <t xml:space="preserve">ERIE</t>
  </si>
  <si>
    <t xml:space="preserve">Below range cut + illiquid</t>
  </si>
  <si>
    <t xml:space="preserve">BKNG</t>
  </si>
  <si>
    <t xml:space="preserve">Split in 2026 - no longer high-priced</t>
  </si>
  <si>
    <t xml:space="preserve">NFLX</t>
  </si>
  <si>
    <t xml:space="preserve">Split - no longer high-priced</t>
  </si>
  <si>
    <t xml:space="preserve">Reality check: after the 2026 BKNG and NFLX splits, only NVR still averages a $100+/share daily range with tradeable liquidity.</t>
  </si>
  <si>
    <t xml:space="preserve">Final backtest universe (8): NVR, AZO, MELI, FICO, FCNCA, MTD, TDG, MKL - top dollar-range names with avg $ volume &gt;= $100M/day.</t>
  </si>
  <si>
    <t xml:space="preserve">Momentum score (0-100), computed at each day's close. Signal tested: score &gt;= 60 -&gt; trade next day open-to-close.</t>
  </si>
  <si>
    <t xml:space="preserve">Component</t>
  </si>
  <si>
    <t xml:space="preserve">Max pts</t>
  </si>
  <si>
    <t xml:space="preserve">Definition</t>
  </si>
  <si>
    <t xml:space="preserve">Excel-style formula (day T)</t>
  </si>
  <si>
    <t xml:space="preserve">Rationale</t>
  </si>
  <si>
    <t xml:space="preserve">Close location value (CLV)</t>
  </si>
  <si>
    <t xml:space="preserve">Where the close sits in the day's range: (C-L)/(H-L)</t>
  </si>
  <si>
    <t xml:space="preserve">(Close - Low) / (High - Low) * 20</t>
  </si>
  <si>
    <t xml:space="preserve">Strong close = buyers in control</t>
  </si>
  <si>
    <t xml:space="preserve">1-day return z-score</t>
  </si>
  <si>
    <t xml:space="preserve">Today's return divided by 20-day return volatility, capped at 2</t>
  </si>
  <si>
    <t xml:space="preserve">MIN(2, MAX(0, (C/C_prev - 1) / STDEV(last 20 daily returns))) / 2 * 20</t>
  </si>
  <si>
    <t xml:space="preserve">Outsized up-move vs own volatility</t>
  </si>
  <si>
    <t xml:space="preserve">Trend filter</t>
  </si>
  <si>
    <t xml:space="preserve">Close above 10-day SMA (+10) and above 20-day SMA (+10)</t>
  </si>
  <si>
    <t xml:space="preserve">IF(C &gt; AVERAGE(C_last10), 10, 0) + IF(C &gt; AVERAGE(C_last20), 10, 0)</t>
  </si>
  <si>
    <t xml:space="preserve">Trade with the short-term trend</t>
  </si>
  <si>
    <t xml:space="preserve">Volume confirmation</t>
  </si>
  <si>
    <t xml:space="preserve">Today's volume vs 20-day average, capped at 2x</t>
  </si>
  <si>
    <t xml:space="preserve">MIN(2, Vol / AVERAGE(Vol_last20)) / 2 * 15</t>
  </si>
  <si>
    <t xml:space="preserve">Moves on volume are more reliable</t>
  </si>
  <si>
    <t xml:space="preserve">RSI(14) sweet spot</t>
  </si>
  <si>
    <t xml:space="preserve">15 pts if RSI 50-75; 7 pts if 40-50 or 75-80; else 0</t>
  </si>
  <si>
    <t xml:space="preserve">Banding on RSI(14): 50-75 gives 15; 40-50 or 75-80 gives 7; else 0</t>
  </si>
  <si>
    <t xml:space="preserve">Momentum without exhaustion</t>
  </si>
  <si>
    <t xml:space="preserve">5-day momentum</t>
  </si>
  <si>
    <t xml:space="preserve">Positive 5-day return</t>
  </si>
  <si>
    <t xml:space="preserve">IF(C / C_5ago &gt; 1, 10, 0)</t>
  </si>
  <si>
    <t xml:space="preserve">Multi-day persistence</t>
  </si>
  <si>
    <t xml:space="preserve">TOTAL</t>
  </si>
  <si>
    <t xml:space="preserve">Trading cost assumption used in all backtests: 0.05% per round trip (commission + slippage).</t>
  </si>
  <si>
    <t xml:space="preserve">What the score IS: a transparent way to rank which stock has the strongest recent momentum.</t>
  </si>
  <si>
    <t xml:space="preserve">What the score IS NOT: a predictor of tomorrow's direction. The backtest sheet proves it has no next-day predictive power.</t>
  </si>
  <si>
    <t xml:space="preserve">Scores at 30-Jul-2026 close (predicting 31-Jul session). Blue = data, black = formula.</t>
  </si>
  <si>
    <t xml:space="preserve">Close ($)</t>
  </si>
  <si>
    <t xml:space="preserve">Avg range 20d ($)</t>
  </si>
  <si>
    <t xml:space="preserve">CLV /20</t>
  </si>
  <si>
    <t xml:space="preserve">Z /20</t>
  </si>
  <si>
    <t xml:space="preserve">Trend /20</t>
  </si>
  <si>
    <t xml:space="preserve">Vol /15</t>
  </si>
  <si>
    <t xml:space="preserve">RSI /15</t>
  </si>
  <si>
    <t xml:space="preserve">Mom5 /10</t>
  </si>
  <si>
    <t xml:space="preserve">TOTAL /100</t>
  </si>
  <si>
    <t xml:space="preserve">Rank</t>
  </si>
  <si>
    <t xml:space="preserve">RSI(14)</t>
  </si>
  <si>
    <t xml:space="preserve">Today's leader: MELI (81.7) - strongest close, above both SMAs, healthy RSI. Remember: highest momentum RANK, not a prediction that it rises tomorrow.</t>
  </si>
  <si>
    <t xml:space="preserve">Backtest: 1 year (Aug-2025 to Jul-2026), 8 tickers, 1,832 stock-days. Cost 0.05%/round trip. All numbers are REAL - nothing was tuned to look good.</t>
  </si>
  <si>
    <t xml:space="preserve">A. Main strategy: score &gt;= threshold at close -&gt; buy next open, sell next close</t>
  </si>
  <si>
    <t xml:space="preserve">Score threshold</t>
  </si>
  <si>
    <t xml:space="preserve">Trades</t>
  </si>
  <si>
    <t xml:space="preserve">Win rate</t>
  </si>
  <si>
    <t xml:space="preserve">Avg P&amp;L / trade</t>
  </si>
  <si>
    <t xml:space="preserve">Avg $ P&amp;L on $25k</t>
  </si>
  <si>
    <t xml:space="preserve">All days (baseline)</t>
  </si>
  <si>
    <t xml:space="preserve">&gt;= 40</t>
  </si>
  <si>
    <t xml:space="preserve">&gt;= 50</t>
  </si>
  <si>
    <t xml:space="preserve">&gt;= 60</t>
  </si>
  <si>
    <t xml:space="preserve">&gt;= 70</t>
  </si>
  <si>
    <t xml:space="preserve">Read: at every threshold the win rate is ~48-49% and the average trade LOSES money. Higher score does not mean higher win rate.</t>
  </si>
  <si>
    <t xml:space="preserve">B. Alternative rules tested (same data, same honesty)</t>
  </si>
  <si>
    <t xml:space="preserve">Rule</t>
  </si>
  <si>
    <t xml:space="preserve">Std dev / trade</t>
  </si>
  <si>
    <t xml:space="preserve">Overnight hold, all days (close to close)</t>
  </si>
  <si>
    <t xml:space="preserve">Overnight hold, score &gt;= 60</t>
  </si>
  <si>
    <t xml:space="preserve">Overnight hold, score &lt;= 30 (contrarian)</t>
  </si>
  <si>
    <t xml:space="preserve">Intraday, score &lt;= 30 (mean reversion)</t>
  </si>
  <si>
    <t xml:space="preserve">Intraday, score &gt;= 55 AND gap down at open</t>
  </si>
  <si>
    <t xml:space="preserve">Intraday, score &gt;= 55 AND gap up at open</t>
  </si>
  <si>
    <t xml:space="preserve">C. Per-ticker detail at score &gt;= 60 (the main signal)</t>
  </si>
  <si>
    <t xml:space="preserve">Best trade</t>
  </si>
  <si>
    <t xml:space="preserve">Worst trade</t>
  </si>
  <si>
    <t xml:space="preserve">Worst $ on $25k</t>
  </si>
  <si>
    <t xml:space="preserve">AZO and MKL look positive, but 52-60 trades is far too few to distinguish skill from luck (and selecting winners after the fact is curve-fitting).</t>
  </si>
  <si>
    <t xml:space="preserve">VERDICT: no tested rule beat a coin flip after costs. A single bad day (e.g. FICO -10.3%) can erase weeks. Do not day trade on this or any daily-bar momentum formula.</t>
  </si>
  <si>
    <t xml:space="preserve">D. Recent-period slice (added on request): does the last 1-3 weeks look different?</t>
  </si>
  <si>
    <t xml:space="preserve">Window</t>
  </si>
  <si>
    <t xml:space="preserve">Last 15 trading days (~3 weeks)</t>
  </si>
  <si>
    <t xml:space="preserve">Signal: score &gt;= 60</t>
  </si>
  <si>
    <t xml:space="preserve">Last 5 trading days (1 week)</t>
  </si>
  <si>
    <t xml:space="preserve">Warning: 20-37 trades is statistically meaningless. Last week's 60% signal win rate is below the 57.5% ALL-days baseline drift plus noise - it is the market rising, not the formula working. Never judge a system on under ~200 trades.</t>
  </si>
  <si>
    <t xml:space="preserve">The math that actually decides whether a day trader survives (edit yellow cells)</t>
  </si>
  <si>
    <t xml:space="preserve">Capital per trade ($)</t>
  </si>
  <si>
    <t xml:space="preserve">Your input</t>
  </si>
  <si>
    <t xml:space="preserve">Max risk per trade (% of capital)</t>
  </si>
  <si>
    <t xml:space="preserve">Professional standard: 1%</t>
  </si>
  <si>
    <t xml:space="preserve">Max $ loss per trade</t>
  </si>
  <si>
    <t xml:space="preserve">Stop out here, no exceptions</t>
  </si>
  <si>
    <t xml:space="preserve">NVR price (example)</t>
  </si>
  <si>
    <t xml:space="preserve">30-Jul-2026 close</t>
  </si>
  <si>
    <t xml:space="preserve">Shares of NVR with $25k</t>
  </si>
  <si>
    <t xml:space="preserve">Only 3 shares - position sizing is coarse</t>
  </si>
  <si>
    <t xml:space="preserve">NVR avg daily range ($/share)</t>
  </si>
  <si>
    <t xml:space="preserve">Typical adverse move can exceed your stop</t>
  </si>
  <si>
    <t xml:space="preserve">Typical 1-day loss if wrong (2% move)</t>
  </si>
  <si>
    <t xml:space="preserve">This is a normal day, not a crash</t>
  </si>
  <si>
    <t xml:space="preserve">Pattern Day Trader rule: with a margin account under $25,000 equity, FINRA limits you to 3 day trades per rolling 5 business days. At exactly $25k you are at the boundary - one losing day puts you under it.</t>
  </si>
  <si>
    <t xml:space="preserve">To be profitable long-term you need: (win rate x avg win) &gt; (loss rate x avg loss) + costs. At 48.6% win rate with symmetric wins/losses, you lose - guaranteed - at any position size.</t>
  </si>
  <si>
    <t xml:space="preserve">The backtested strategies lose ~ -0.09% to -0.23% per trade. On $25,000 that is -$23 to -$58 per trade on average, or roughly -$5,000 to -$12,000 over a year of daily trading.</t>
  </si>
  <si>
    <t xml:space="preserve">If you still want exposure to these names, the evidence favors: fewer trades, longer holding periods, and index funds for the core. Day trading single ultra-priced stocks on daily signals is - per this data - a slow transfer of your money to market makers.</t>
  </si>
  <si>
    <t xml:space="preserve">Not investment advice; I am not a licensed financial advisor. Please consult one before risking capital.</t>
  </si>
</sst>
</file>

<file path=xl/styles.xml><?xml version="1.0" encoding="utf-8"?>
<styleSheet xmlns="http://schemas.openxmlformats.org/spreadsheetml/2006/main">
  <numFmts count="13">
    <numFmt numFmtId="164" formatCode="General"/>
    <numFmt numFmtId="165" formatCode="\$#,##0.00"/>
    <numFmt numFmtId="166" formatCode="\$#,##0.0"/>
    <numFmt numFmtId="167" formatCode="0.00%"/>
    <numFmt numFmtId="168" formatCode="\$#,##0"/>
    <numFmt numFmtId="169" formatCode="0"/>
    <numFmt numFmtId="170" formatCode="@"/>
    <numFmt numFmtId="171" formatCode="0.0"/>
    <numFmt numFmtId="172" formatCode="#,##0"/>
    <numFmt numFmtId="173" formatCode="0.0%"/>
    <numFmt numFmtId="174" formatCode="0.000%"/>
    <numFmt numFmtId="175" formatCode="\$#,##0;&quot;($&quot;#,##0\)"/>
    <numFmt numFmtId="176" formatCode="\$#,##0;&quot;($&quot;#,##0\)"/>
  </numFmts>
  <fonts count="10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2"/>
      <color rgb="FF000000"/>
      <name val="Arial"/>
      <family val="0"/>
      <charset val="1"/>
    </font>
    <font>
      <sz val="10"/>
      <color rgb="FF000000"/>
      <name val="Arial"/>
      <family val="0"/>
      <charset val="1"/>
    </font>
    <font>
      <b val="true"/>
      <sz val="10"/>
      <color rgb="FF000000"/>
      <name val="Arial"/>
      <family val="0"/>
      <charset val="1"/>
    </font>
    <font>
      <sz val="10"/>
      <color rgb="FF0000FF"/>
      <name val="Arial"/>
      <family val="0"/>
      <charset val="1"/>
    </font>
    <font>
      <b val="true"/>
      <sz val="10"/>
      <color rgb="FFFFFFFF"/>
      <name val="Arial"/>
      <family val="0"/>
      <charset val="1"/>
    </font>
    <font>
      <b val="true"/>
      <sz val="10"/>
      <color rgb="FF0000FF"/>
      <name val="Arial"/>
      <family val="0"/>
      <charset val="1"/>
    </font>
  </fonts>
  <fills count="6">
    <fill>
      <patternFill patternType="none"/>
    </fill>
    <fill>
      <patternFill patternType="gray125"/>
    </fill>
    <fill>
      <patternFill patternType="solid">
        <fgColor rgb="FFFFFF00"/>
        <bgColor rgb="FFFFFF00"/>
      </patternFill>
    </fill>
    <fill>
      <patternFill patternType="solid">
        <fgColor rgb="FFFCE4E4"/>
        <bgColor rgb="FFD9E2F3"/>
      </patternFill>
    </fill>
    <fill>
      <patternFill patternType="solid">
        <fgColor rgb="FFD9E2F3"/>
        <bgColor rgb="FFFCE4E4"/>
      </patternFill>
    </fill>
    <fill>
      <patternFill patternType="solid">
        <fgColor rgb="FF1F3864"/>
        <bgColor rgb="FF333333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43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4" fontId="5" fillId="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4" fontId="6" fillId="2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4" fontId="6" fillId="3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4" fontId="6" fillId="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4" fontId="6" fillId="4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4" fontId="6" fillId="0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7" fillId="0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8" fillId="5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9" fillId="0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5" fontId="7" fillId="0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6" fontId="7" fillId="0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7" fontId="7" fillId="0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8" fontId="7" fillId="0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5" fillId="0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6" fillId="2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9" fontId="5" fillId="0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5" fillId="0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70" fontId="5" fillId="0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6" fillId="4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9" fontId="6" fillId="4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71" fontId="7" fillId="0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71" fontId="6" fillId="0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9" fontId="7" fillId="0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5" fillId="4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72" fontId="7" fillId="0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73" fontId="7" fillId="0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74" fontId="7" fillId="0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75" fontId="5" fillId="0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6" fillId="3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6" fillId="4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8" fillId="5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7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9" fontId="7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73" fontId="7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74" fontId="7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76" fontId="5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6" fillId="2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8" fontId="7" fillId="2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73" fontId="7" fillId="2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8" fontId="5" fillId="0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FBFBF"/>
      <rgbColor rgb="FF808080"/>
      <rgbColor rgb="FF9999FF"/>
      <rgbColor rgb="FF993366"/>
      <rgbColor rgb="FFFCE4E4"/>
      <rgbColor rgb="FFCCFFFF"/>
      <rgbColor rgb="FF660066"/>
      <rgbColor rgb="FFFF8080"/>
      <rgbColor rgb="FF0066CC"/>
      <rgbColor rgb="FFD9E2F3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1F3864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Relationship Id="rId9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19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1" width="118"/>
  </cols>
  <sheetData>
    <row r="1" customFormat="false" ht="15" hidden="false" customHeight="true" outlineLevel="0" collapsed="false">
      <c r="A1" s="2" t="s">
        <v>0</v>
      </c>
    </row>
    <row r="2" customFormat="false" ht="15" hidden="false" customHeight="true" outlineLevel="0" collapsed="false">
      <c r="A2" s="3" t="s">
        <v>1</v>
      </c>
    </row>
    <row r="3" customFormat="false" ht="15" hidden="false" customHeight="true" outlineLevel="0" collapsed="false">
      <c r="A3" s="3"/>
    </row>
    <row r="4" customFormat="false" ht="15" hidden="false" customHeight="true" outlineLevel="0" collapsed="false">
      <c r="A4" s="4" t="s">
        <v>2</v>
      </c>
    </row>
    <row r="5" customFormat="false" ht="25.5" hidden="false" customHeight="true" outlineLevel="0" collapsed="false">
      <c r="A5" s="3" t="s">
        <v>3</v>
      </c>
    </row>
    <row r="6" customFormat="false" ht="15" hidden="false" customHeight="true" outlineLevel="0" collapsed="false">
      <c r="A6" s="3" t="s">
        <v>4</v>
      </c>
    </row>
    <row r="7" customFormat="false" ht="15" hidden="false" customHeight="true" outlineLevel="0" collapsed="false">
      <c r="A7" s="5" t="s">
        <v>5</v>
      </c>
    </row>
    <row r="8" customFormat="false" ht="15" hidden="false" customHeight="true" outlineLevel="0" collapsed="false">
      <c r="A8" s="3" t="s">
        <v>6</v>
      </c>
    </row>
    <row r="9" customFormat="false" ht="23.25" hidden="false" customHeight="true" outlineLevel="0" collapsed="false">
      <c r="A9" s="6" t="s">
        <v>7</v>
      </c>
    </row>
    <row r="10" customFormat="false" ht="15" hidden="false" customHeight="true" outlineLevel="0" collapsed="false">
      <c r="A10" s="3"/>
    </row>
    <row r="11" customFormat="false" ht="15" hidden="false" customHeight="true" outlineLevel="0" collapsed="false">
      <c r="A11" s="7" t="s">
        <v>8</v>
      </c>
    </row>
    <row r="12" customFormat="false" ht="15" hidden="false" customHeight="true" outlineLevel="0" collapsed="false">
      <c r="A12" s="3" t="s">
        <v>9</v>
      </c>
    </row>
    <row r="13" customFormat="false" ht="23.25" hidden="false" customHeight="true" outlineLevel="0" collapsed="false">
      <c r="A13" s="3" t="s">
        <v>10</v>
      </c>
    </row>
    <row r="14" customFormat="false" ht="15" hidden="false" customHeight="true" outlineLevel="0" collapsed="false">
      <c r="A14" s="3" t="s">
        <v>11</v>
      </c>
    </row>
    <row r="15" customFormat="false" ht="15" hidden="false" customHeight="true" outlineLevel="0" collapsed="false">
      <c r="A15" s="3" t="s">
        <v>12</v>
      </c>
    </row>
    <row r="16" customFormat="false" ht="15" hidden="false" customHeight="true" outlineLevel="0" collapsed="false">
      <c r="A16" s="3" t="s">
        <v>13</v>
      </c>
    </row>
    <row r="17" customFormat="false" ht="15" hidden="false" customHeight="true" outlineLevel="0" collapsed="false">
      <c r="A17" s="3"/>
    </row>
    <row r="18" customFormat="false" ht="15" hidden="false" customHeight="true" outlineLevel="0" collapsed="false">
      <c r="A18" s="6" t="s">
        <v>14</v>
      </c>
    </row>
    <row r="19" customFormat="false" ht="39.75" hidden="false" customHeight="true" outlineLevel="0" collapsed="false">
      <c r="A19" s="3" t="s">
        <v>15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H27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1" width="9"/>
    <col collapsed="false" customWidth="true" hidden="false" outlineLevel="0" max="2" min="2" style="1" width="13"/>
    <col collapsed="false" customWidth="true" hidden="false" outlineLevel="0" max="3" min="3" style="1" width="15"/>
    <col collapsed="false" customWidth="true" hidden="false" outlineLevel="0" max="4" min="4" style="1" width="13"/>
    <col collapsed="false" customWidth="true" hidden="false" outlineLevel="0" max="5" min="5" style="1" width="16"/>
    <col collapsed="false" customWidth="true" hidden="false" outlineLevel="0" max="7" min="6" style="1" width="15"/>
    <col collapsed="false" customWidth="true" hidden="false" outlineLevel="0" max="8" min="8" style="1" width="34"/>
  </cols>
  <sheetData>
    <row r="1" customFormat="false" ht="15" hidden="false" customHeight="true" outlineLevel="0" collapsed="false">
      <c r="A1" s="8" t="s">
        <v>16</v>
      </c>
    </row>
    <row r="2" customFormat="false" ht="15" hidden="false" customHeight="true" outlineLevel="0" collapsed="false">
      <c r="A2" s="9" t="s">
        <v>17</v>
      </c>
    </row>
    <row r="4" customFormat="false" ht="23.25" hidden="false" customHeight="true" outlineLevel="0" collapsed="false">
      <c r="A4" s="10" t="s">
        <v>18</v>
      </c>
      <c r="B4" s="10" t="s">
        <v>19</v>
      </c>
      <c r="C4" s="10" t="s">
        <v>20</v>
      </c>
      <c r="D4" s="10" t="s">
        <v>21</v>
      </c>
      <c r="E4" s="10" t="s">
        <v>22</v>
      </c>
      <c r="F4" s="10" t="s">
        <v>23</v>
      </c>
      <c r="G4" s="10" t="s">
        <v>24</v>
      </c>
      <c r="H4" s="10" t="s">
        <v>25</v>
      </c>
    </row>
    <row r="5" customFormat="false" ht="15" hidden="false" customHeight="true" outlineLevel="0" collapsed="false">
      <c r="A5" s="11" t="s">
        <v>26</v>
      </c>
      <c r="B5" s="12" t="n">
        <v>6288.68</v>
      </c>
      <c r="C5" s="13" t="n">
        <v>173.8</v>
      </c>
      <c r="D5" s="14" t="n">
        <v>0.0245</v>
      </c>
      <c r="E5" s="15" t="n">
        <v>174</v>
      </c>
      <c r="F5" s="16" t="str">
        <f aca="false">IF(C5&gt;=100,"YES","no")</f>
        <v>YES</v>
      </c>
      <c r="G5" s="16" t="str">
        <f aca="false">IF(E5&gt;=100,"YES","no")</f>
        <v>YES</v>
      </c>
      <c r="H5" s="16" t="s">
        <v>27</v>
      </c>
    </row>
    <row r="6" customFormat="false" ht="15" hidden="false" customHeight="true" outlineLevel="0" collapsed="false">
      <c r="A6" s="11" t="s">
        <v>28</v>
      </c>
      <c r="B6" s="12" t="n">
        <v>4505.27</v>
      </c>
      <c r="C6" s="13" t="n">
        <v>170</v>
      </c>
      <c r="D6" s="14" t="n">
        <v>0.0372</v>
      </c>
      <c r="E6" s="15" t="n">
        <v>50</v>
      </c>
      <c r="F6" s="16" t="str">
        <f aca="false">IF(C6&gt;=100,"YES","no")</f>
        <v>YES</v>
      </c>
      <c r="G6" s="16" t="str">
        <f aca="false">IF(E6&gt;=100,"YES","no")</f>
        <v>no</v>
      </c>
      <c r="H6" s="16" t="s">
        <v>29</v>
      </c>
    </row>
    <row r="7" customFormat="false" ht="15" hidden="false" customHeight="true" outlineLevel="0" collapsed="false">
      <c r="A7" s="11" t="s">
        <v>30</v>
      </c>
      <c r="B7" s="12" t="n">
        <v>3006.57</v>
      </c>
      <c r="C7" s="13" t="n">
        <v>88</v>
      </c>
      <c r="D7" s="14" t="n">
        <v>0.0247</v>
      </c>
      <c r="E7" s="15" t="n">
        <v>699</v>
      </c>
      <c r="F7" s="16" t="str">
        <f aca="false">IF(C7&gt;=100,"YES","no")</f>
        <v>no</v>
      </c>
      <c r="G7" s="16" t="str">
        <f aca="false">IF(E7&gt;=100,"YES","no")</f>
        <v>YES</v>
      </c>
      <c r="H7" s="16" t="s">
        <v>31</v>
      </c>
    </row>
    <row r="8" customFormat="false" ht="15" hidden="false" customHeight="true" outlineLevel="0" collapsed="false">
      <c r="A8" s="11" t="s">
        <v>32</v>
      </c>
      <c r="B8" s="12" t="n">
        <v>1885.73</v>
      </c>
      <c r="C8" s="13" t="n">
        <v>65.8</v>
      </c>
      <c r="D8" s="14" t="n">
        <v>0.0332</v>
      </c>
      <c r="E8" s="15" t="n">
        <v>1006</v>
      </c>
      <c r="F8" s="16" t="str">
        <f aca="false">IF(C8&gt;=100,"YES","no")</f>
        <v>no</v>
      </c>
      <c r="G8" s="16" t="str">
        <f aca="false">IF(E8&gt;=100,"YES","no")</f>
        <v>YES</v>
      </c>
      <c r="H8" s="16" t="s">
        <v>31</v>
      </c>
    </row>
    <row r="9" customFormat="false" ht="15" hidden="false" customHeight="true" outlineLevel="0" collapsed="false">
      <c r="A9" s="11" t="s">
        <v>33</v>
      </c>
      <c r="B9" s="12" t="n">
        <v>2156.23</v>
      </c>
      <c r="C9" s="13" t="n">
        <v>50.7</v>
      </c>
      <c r="D9" s="14" t="n">
        <v>0.0259</v>
      </c>
      <c r="E9" s="15" t="n">
        <v>208</v>
      </c>
      <c r="F9" s="16" t="str">
        <f aca="false">IF(C9&gt;=100,"YES","no")</f>
        <v>no</v>
      </c>
      <c r="G9" s="16" t="str">
        <f aca="false">IF(E9&gt;=100,"YES","no")</f>
        <v>YES</v>
      </c>
      <c r="H9" s="16" t="s">
        <v>31</v>
      </c>
    </row>
    <row r="10" customFormat="false" ht="15" hidden="false" customHeight="true" outlineLevel="0" collapsed="false">
      <c r="A10" s="11" t="s">
        <v>34</v>
      </c>
      <c r="B10" s="12" t="n">
        <v>1139.54</v>
      </c>
      <c r="C10" s="13" t="n">
        <v>56.8</v>
      </c>
      <c r="D10" s="14" t="n">
        <v>0.042</v>
      </c>
      <c r="E10" s="15" t="n">
        <v>440</v>
      </c>
      <c r="F10" s="16" t="str">
        <f aca="false">IF(C10&gt;=100,"YES","no")</f>
        <v>no</v>
      </c>
      <c r="G10" s="16" t="str">
        <f aca="false">IF(E10&gt;=100,"YES","no")</f>
        <v>YES</v>
      </c>
      <c r="H10" s="16" t="s">
        <v>31</v>
      </c>
    </row>
    <row r="11" customFormat="false" ht="15" hidden="false" customHeight="true" outlineLevel="0" collapsed="false">
      <c r="A11" s="11" t="s">
        <v>35</v>
      </c>
      <c r="B11" s="12" t="n">
        <v>2118.61</v>
      </c>
      <c r="C11" s="13" t="n">
        <v>44.8</v>
      </c>
      <c r="D11" s="14" t="n">
        <v>0.0219</v>
      </c>
      <c r="E11" s="15" t="n">
        <v>45</v>
      </c>
      <c r="F11" s="16" t="str">
        <f aca="false">IF(C11&gt;=100,"YES","no")</f>
        <v>no</v>
      </c>
      <c r="G11" s="16" t="str">
        <f aca="false">IF(E11&gt;=100,"YES","no")</f>
        <v>no</v>
      </c>
      <c r="H11" s="16" t="s">
        <v>36</v>
      </c>
    </row>
    <row r="12" customFormat="false" ht="15" hidden="false" customHeight="true" outlineLevel="0" collapsed="false">
      <c r="A12" s="11" t="s">
        <v>37</v>
      </c>
      <c r="B12" s="12" t="n">
        <v>1886.16</v>
      </c>
      <c r="C12" s="13" t="n">
        <v>36.5</v>
      </c>
      <c r="D12" s="14" t="n">
        <v>0.0186</v>
      </c>
      <c r="E12" s="15" t="n">
        <v>106</v>
      </c>
      <c r="F12" s="16" t="str">
        <f aca="false">IF(C12&gt;=100,"YES","no")</f>
        <v>no</v>
      </c>
      <c r="G12" s="16" t="str">
        <f aca="false">IF(E12&gt;=100,"YES","no")</f>
        <v>YES</v>
      </c>
      <c r="H12" s="16" t="s">
        <v>31</v>
      </c>
    </row>
    <row r="13" customFormat="false" ht="15" hidden="false" customHeight="true" outlineLevel="0" collapsed="false">
      <c r="A13" s="11" t="s">
        <v>38</v>
      </c>
      <c r="B13" s="12" t="n">
        <v>1380.61</v>
      </c>
      <c r="C13" s="13" t="n">
        <v>34.8</v>
      </c>
      <c r="D13" s="14" t="n">
        <v>0.0268</v>
      </c>
      <c r="E13" s="15" t="n">
        <v>211</v>
      </c>
      <c r="F13" s="16" t="str">
        <f aca="false">IF(C13&gt;=100,"YES","no")</f>
        <v>no</v>
      </c>
      <c r="G13" s="16" t="str">
        <f aca="false">IF(E13&gt;=100,"YES","no")</f>
        <v>YES</v>
      </c>
      <c r="H13" s="16" t="s">
        <v>31</v>
      </c>
    </row>
    <row r="14" customFormat="false" ht="15" hidden="false" customHeight="true" outlineLevel="0" collapsed="false">
      <c r="A14" s="11" t="s">
        <v>39</v>
      </c>
      <c r="B14" s="12" t="n">
        <v>1249.91</v>
      </c>
      <c r="C14" s="13" t="n">
        <v>31.2</v>
      </c>
      <c r="D14" s="14" t="n">
        <v>0.0242</v>
      </c>
      <c r="E14" s="15" t="n">
        <v>474</v>
      </c>
      <c r="F14" s="16" t="str">
        <f aca="false">IF(C14&gt;=100,"YES","no")</f>
        <v>no</v>
      </c>
      <c r="G14" s="16" t="str">
        <f aca="false">IF(E14&gt;=100,"YES","no")</f>
        <v>YES</v>
      </c>
      <c r="H14" s="16" t="s">
        <v>31</v>
      </c>
    </row>
    <row r="15" customFormat="false" ht="15" hidden="false" customHeight="true" outlineLevel="0" collapsed="false">
      <c r="A15" s="11" t="s">
        <v>40</v>
      </c>
      <c r="B15" s="12" t="n">
        <v>1155</v>
      </c>
      <c r="C15" s="13" t="n">
        <v>27.6</v>
      </c>
      <c r="D15" s="14" t="n">
        <v>0.0284</v>
      </c>
      <c r="E15" s="15" t="n">
        <v>3356</v>
      </c>
      <c r="F15" s="16" t="str">
        <f aca="false">IF(C15&gt;=100,"YES","no")</f>
        <v>no</v>
      </c>
      <c r="G15" s="16" t="str">
        <f aca="false">IF(E15&gt;=100,"YES","no")</f>
        <v>YES</v>
      </c>
      <c r="H15" s="16" t="s">
        <v>41</v>
      </c>
    </row>
    <row r="16" customFormat="false" ht="15" hidden="false" customHeight="true" outlineLevel="0" collapsed="false">
      <c r="A16" s="11" t="s">
        <v>42</v>
      </c>
      <c r="B16" s="12" t="n">
        <v>1025</v>
      </c>
      <c r="C16" s="13" t="n">
        <v>23.3</v>
      </c>
      <c r="D16" s="14" t="n">
        <v>0.026</v>
      </c>
      <c r="E16" s="15" t="n">
        <v>1894</v>
      </c>
      <c r="F16" s="16" t="str">
        <f aca="false">IF(C16&gt;=100,"YES","no")</f>
        <v>no</v>
      </c>
      <c r="G16" s="16" t="str">
        <f aca="false">IF(E16&gt;=100,"YES","no")</f>
        <v>YES</v>
      </c>
      <c r="H16" s="16" t="s">
        <v>41</v>
      </c>
    </row>
    <row r="17" customFormat="false" ht="15" hidden="false" customHeight="true" outlineLevel="0" collapsed="false">
      <c r="A17" s="11" t="s">
        <v>43</v>
      </c>
      <c r="B17" s="12" t="n">
        <v>954</v>
      </c>
      <c r="C17" s="13" t="n">
        <v>16.7</v>
      </c>
      <c r="D17" s="14" t="n">
        <v>0.0174</v>
      </c>
      <c r="E17" s="15" t="n">
        <v>2233</v>
      </c>
      <c r="F17" s="16" t="str">
        <f aca="false">IF(C17&gt;=100,"YES","no")</f>
        <v>no</v>
      </c>
      <c r="G17" s="16" t="str">
        <f aca="false">IF(E17&gt;=100,"YES","no")</f>
        <v>YES</v>
      </c>
      <c r="H17" s="16" t="s">
        <v>41</v>
      </c>
    </row>
    <row r="18" customFormat="false" ht="15" hidden="false" customHeight="true" outlineLevel="0" collapsed="false">
      <c r="A18" s="11" t="s">
        <v>44</v>
      </c>
      <c r="B18" s="12" t="n">
        <v>539</v>
      </c>
      <c r="C18" s="13" t="n">
        <v>16.7</v>
      </c>
      <c r="D18" s="14" t="n">
        <v>0.0257</v>
      </c>
      <c r="E18" s="15" t="n">
        <v>10601</v>
      </c>
      <c r="F18" s="16" t="str">
        <f aca="false">IF(C18&gt;=100,"YES","no")</f>
        <v>no</v>
      </c>
      <c r="G18" s="16" t="str">
        <f aca="false">IF(E18&gt;=100,"YES","no")</f>
        <v>YES</v>
      </c>
      <c r="H18" s="16" t="s">
        <v>41</v>
      </c>
    </row>
    <row r="19" customFormat="false" ht="15" hidden="false" customHeight="true" outlineLevel="0" collapsed="false">
      <c r="A19" s="11" t="s">
        <v>45</v>
      </c>
      <c r="B19" s="12" t="n">
        <v>394.25</v>
      </c>
      <c r="C19" s="13" t="n">
        <v>15.3</v>
      </c>
      <c r="D19" s="14" t="n">
        <v>0.0406</v>
      </c>
      <c r="E19" s="15" t="n">
        <v>165</v>
      </c>
      <c r="F19" s="16" t="str">
        <f aca="false">IF(C19&gt;=100,"YES","no")</f>
        <v>no</v>
      </c>
      <c r="G19" s="16" t="str">
        <f aca="false">IF(E19&gt;=100,"YES","no")</f>
        <v>YES</v>
      </c>
      <c r="H19" s="16" t="s">
        <v>41</v>
      </c>
    </row>
    <row r="20" customFormat="false" ht="15" hidden="false" customHeight="true" outlineLevel="0" collapsed="false">
      <c r="A20" s="11" t="s">
        <v>46</v>
      </c>
      <c r="B20" s="12" t="n">
        <v>388</v>
      </c>
      <c r="C20" s="13" t="n">
        <v>12.9</v>
      </c>
      <c r="D20" s="14" t="n">
        <v>0.0361</v>
      </c>
      <c r="E20" s="15" t="n">
        <v>9299</v>
      </c>
      <c r="F20" s="16" t="str">
        <f aca="false">IF(C20&gt;=100,"YES","no")</f>
        <v>no</v>
      </c>
      <c r="G20" s="16" t="str">
        <f aca="false">IF(E20&gt;=100,"YES","no")</f>
        <v>YES</v>
      </c>
      <c r="H20" s="16" t="s">
        <v>41</v>
      </c>
    </row>
    <row r="21" customFormat="false" ht="15" hidden="false" customHeight="true" outlineLevel="0" collapsed="false">
      <c r="A21" s="11" t="s">
        <v>47</v>
      </c>
      <c r="B21" s="12" t="n">
        <v>98</v>
      </c>
      <c r="C21" s="13" t="n">
        <v>10.6</v>
      </c>
      <c r="D21" s="14" t="n">
        <v>0.0575</v>
      </c>
      <c r="E21" s="15" t="n">
        <v>3226</v>
      </c>
      <c r="F21" s="16" t="str">
        <f aca="false">IF(C21&gt;=100,"YES","no")</f>
        <v>no</v>
      </c>
      <c r="G21" s="16" t="str">
        <f aca="false">IF(E21&gt;=100,"YES","no")</f>
        <v>YES</v>
      </c>
      <c r="H21" s="16" t="s">
        <v>41</v>
      </c>
    </row>
    <row r="22" customFormat="false" ht="15" hidden="false" customHeight="true" outlineLevel="0" collapsed="false">
      <c r="A22" s="11" t="s">
        <v>48</v>
      </c>
      <c r="B22" s="12" t="n">
        <v>234</v>
      </c>
      <c r="C22" s="13" t="n">
        <v>8</v>
      </c>
      <c r="D22" s="14" t="n">
        <v>0.0298</v>
      </c>
      <c r="E22" s="15" t="n">
        <v>52</v>
      </c>
      <c r="F22" s="16" t="str">
        <f aca="false">IF(C22&gt;=100,"YES","no")</f>
        <v>no</v>
      </c>
      <c r="G22" s="16" t="str">
        <f aca="false">IF(E22&gt;=100,"YES","no")</f>
        <v>no</v>
      </c>
      <c r="H22" s="16" t="s">
        <v>49</v>
      </c>
    </row>
    <row r="23" customFormat="false" ht="15" hidden="false" customHeight="true" outlineLevel="0" collapsed="false">
      <c r="A23" s="11" t="s">
        <v>50</v>
      </c>
      <c r="B23" s="12" t="n">
        <v>193.24</v>
      </c>
      <c r="C23" s="13" t="n">
        <v>5.6</v>
      </c>
      <c r="D23" s="14" t="n">
        <v>0.0299</v>
      </c>
      <c r="E23" s="15" t="n">
        <v>1398</v>
      </c>
      <c r="F23" s="16" t="str">
        <f aca="false">IF(C23&gt;=100,"YES","no")</f>
        <v>no</v>
      </c>
      <c r="G23" s="16" t="str">
        <f aca="false">IF(E23&gt;=100,"YES","no")</f>
        <v>YES</v>
      </c>
      <c r="H23" s="16" t="s">
        <v>51</v>
      </c>
    </row>
    <row r="24" customFormat="false" ht="15" hidden="false" customHeight="true" outlineLevel="0" collapsed="false">
      <c r="A24" s="11" t="s">
        <v>52</v>
      </c>
      <c r="B24" s="12" t="n">
        <v>73</v>
      </c>
      <c r="C24" s="13" t="n">
        <v>2.5</v>
      </c>
      <c r="D24" s="14" t="n">
        <v>0.0264</v>
      </c>
      <c r="E24" s="15" t="n">
        <v>4032</v>
      </c>
      <c r="F24" s="16" t="str">
        <f aca="false">IF(C24&gt;=100,"YES","no")</f>
        <v>no</v>
      </c>
      <c r="G24" s="16" t="str">
        <f aca="false">IF(E24&gt;=100,"YES","no")</f>
        <v>YES</v>
      </c>
      <c r="H24" s="16" t="s">
        <v>53</v>
      </c>
    </row>
    <row r="26" customFormat="false" ht="15" hidden="false" customHeight="true" outlineLevel="0" collapsed="false">
      <c r="A26" s="17" t="s">
        <v>54</v>
      </c>
      <c r="B26" s="17"/>
      <c r="C26" s="17"/>
      <c r="D26" s="17"/>
      <c r="E26" s="17"/>
      <c r="F26" s="17"/>
      <c r="G26" s="17"/>
      <c r="H26" s="17"/>
    </row>
    <row r="27" customFormat="false" ht="15" hidden="false" customHeight="true" outlineLevel="0" collapsed="false">
      <c r="A27" s="16" t="s">
        <v>55</v>
      </c>
      <c r="B27" s="16"/>
      <c r="C27" s="16"/>
      <c r="D27" s="16"/>
      <c r="E27" s="16"/>
      <c r="F27" s="16"/>
      <c r="G27" s="16"/>
      <c r="H27" s="16"/>
    </row>
  </sheetData>
  <mergeCells count="2">
    <mergeCell ref="A26:H26"/>
    <mergeCell ref="A27:H27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E14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1" width="26"/>
    <col collapsed="false" customWidth="true" hidden="false" outlineLevel="0" max="2" min="2" style="1" width="10"/>
    <col collapsed="false" customWidth="true" hidden="false" outlineLevel="0" max="3" min="3" style="1" width="44"/>
    <col collapsed="false" customWidth="true" hidden="false" outlineLevel="0" max="4" min="4" style="1" width="40"/>
    <col collapsed="false" customWidth="true" hidden="false" outlineLevel="0" max="5" min="5" style="1" width="16"/>
  </cols>
  <sheetData>
    <row r="1" customFormat="false" ht="15" hidden="false" customHeight="true" outlineLevel="0" collapsed="false">
      <c r="A1" s="8" t="s">
        <v>56</v>
      </c>
    </row>
    <row r="3" customFormat="false" ht="15" hidden="false" customHeight="true" outlineLevel="0" collapsed="false">
      <c r="A3" s="10" t="s">
        <v>57</v>
      </c>
      <c r="B3" s="10" t="s">
        <v>58</v>
      </c>
      <c r="C3" s="10" t="s">
        <v>59</v>
      </c>
      <c r="D3" s="10" t="s">
        <v>60</v>
      </c>
      <c r="E3" s="10" t="s">
        <v>61</v>
      </c>
    </row>
    <row r="4" customFormat="false" ht="23.25" hidden="false" customHeight="true" outlineLevel="0" collapsed="false">
      <c r="A4" s="8" t="s">
        <v>62</v>
      </c>
      <c r="B4" s="18" t="n">
        <v>20</v>
      </c>
      <c r="C4" s="19" t="s">
        <v>63</v>
      </c>
      <c r="D4" s="20" t="s">
        <v>64</v>
      </c>
      <c r="E4" s="19" t="s">
        <v>65</v>
      </c>
    </row>
    <row r="5" customFormat="false" ht="23.25" hidden="false" customHeight="true" outlineLevel="0" collapsed="false">
      <c r="A5" s="8" t="s">
        <v>66</v>
      </c>
      <c r="B5" s="18" t="n">
        <v>20</v>
      </c>
      <c r="C5" s="19" t="s">
        <v>67</v>
      </c>
      <c r="D5" s="20" t="s">
        <v>68</v>
      </c>
      <c r="E5" s="19" t="s">
        <v>69</v>
      </c>
    </row>
    <row r="6" customFormat="false" ht="23.25" hidden="false" customHeight="true" outlineLevel="0" collapsed="false">
      <c r="A6" s="8" t="s">
        <v>70</v>
      </c>
      <c r="B6" s="18" t="n">
        <v>20</v>
      </c>
      <c r="C6" s="19" t="s">
        <v>71</v>
      </c>
      <c r="D6" s="20" t="s">
        <v>72</v>
      </c>
      <c r="E6" s="19" t="s">
        <v>73</v>
      </c>
    </row>
    <row r="7" customFormat="false" ht="23.25" hidden="false" customHeight="true" outlineLevel="0" collapsed="false">
      <c r="A7" s="8" t="s">
        <v>74</v>
      </c>
      <c r="B7" s="18" t="n">
        <v>15</v>
      </c>
      <c r="C7" s="19" t="s">
        <v>75</v>
      </c>
      <c r="D7" s="20" t="s">
        <v>76</v>
      </c>
      <c r="E7" s="19" t="s">
        <v>77</v>
      </c>
    </row>
    <row r="8" customFormat="false" ht="23.25" hidden="false" customHeight="true" outlineLevel="0" collapsed="false">
      <c r="A8" s="8" t="s">
        <v>78</v>
      </c>
      <c r="B8" s="18" t="n">
        <v>15</v>
      </c>
      <c r="C8" s="19" t="s">
        <v>79</v>
      </c>
      <c r="D8" s="20" t="s">
        <v>80</v>
      </c>
      <c r="E8" s="19" t="s">
        <v>81</v>
      </c>
    </row>
    <row r="9" customFormat="false" ht="23.25" hidden="false" customHeight="true" outlineLevel="0" collapsed="false">
      <c r="A9" s="8" t="s">
        <v>82</v>
      </c>
      <c r="B9" s="18" t="n">
        <v>10</v>
      </c>
      <c r="C9" s="19" t="s">
        <v>83</v>
      </c>
      <c r="D9" s="20" t="s">
        <v>84</v>
      </c>
      <c r="E9" s="19" t="s">
        <v>85</v>
      </c>
    </row>
    <row r="10" customFormat="false" ht="15" hidden="false" customHeight="true" outlineLevel="0" collapsed="false">
      <c r="A10" s="21" t="s">
        <v>86</v>
      </c>
      <c r="B10" s="22" t="n">
        <f aca="false">SUM(B4:B9)</f>
        <v>100</v>
      </c>
    </row>
    <row r="12" customFormat="false" ht="15" hidden="false" customHeight="true" outlineLevel="0" collapsed="false">
      <c r="A12" s="9" t="s">
        <v>87</v>
      </c>
    </row>
    <row r="13" customFormat="false" ht="15" hidden="false" customHeight="true" outlineLevel="0" collapsed="false">
      <c r="A13" s="8" t="s">
        <v>88</v>
      </c>
    </row>
    <row r="14" customFormat="false" ht="15" hidden="false" customHeight="true" outlineLevel="0" collapsed="false">
      <c r="A14" s="17" t="s">
        <v>89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L13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1" width="9"/>
    <col collapsed="false" customWidth="true" hidden="false" outlineLevel="0" max="2" min="2" style="1" width="13"/>
    <col collapsed="false" customWidth="true" hidden="false" outlineLevel="0" max="3" min="3" style="1" width="15"/>
    <col collapsed="false" customWidth="true" hidden="false" outlineLevel="0" max="9" min="4" style="1" width="8"/>
    <col collapsed="false" customWidth="true" hidden="false" outlineLevel="0" max="10" min="10" style="1" width="11"/>
    <col collapsed="false" customWidth="true" hidden="false" outlineLevel="0" max="11" min="11" style="1" width="7"/>
    <col collapsed="false" customWidth="true" hidden="false" outlineLevel="0" max="12" min="12" style="1" width="12"/>
  </cols>
  <sheetData>
    <row r="1" customFormat="false" ht="15" hidden="false" customHeight="true" outlineLevel="0" collapsed="false">
      <c r="A1" s="8" t="s">
        <v>90</v>
      </c>
    </row>
    <row r="3" customFormat="false" ht="23.25" hidden="false" customHeight="true" outlineLevel="0" collapsed="false">
      <c r="A3" s="10" t="s">
        <v>18</v>
      </c>
      <c r="B3" s="10" t="s">
        <v>91</v>
      </c>
      <c r="C3" s="10" t="s">
        <v>92</v>
      </c>
      <c r="D3" s="10" t="s">
        <v>93</v>
      </c>
      <c r="E3" s="10" t="s">
        <v>94</v>
      </c>
      <c r="F3" s="10" t="s">
        <v>95</v>
      </c>
      <c r="G3" s="10" t="s">
        <v>96</v>
      </c>
      <c r="H3" s="10" t="s">
        <v>97</v>
      </c>
      <c r="I3" s="10" t="s">
        <v>98</v>
      </c>
      <c r="J3" s="10" t="s">
        <v>99</v>
      </c>
      <c r="K3" s="10" t="s">
        <v>100</v>
      </c>
      <c r="L3" s="10" t="s">
        <v>101</v>
      </c>
    </row>
    <row r="4" customFormat="false" ht="15" hidden="false" customHeight="true" outlineLevel="0" collapsed="false">
      <c r="A4" s="11" t="s">
        <v>26</v>
      </c>
      <c r="B4" s="12" t="n">
        <v>6288.68</v>
      </c>
      <c r="C4" s="13" t="n">
        <v>200.8</v>
      </c>
      <c r="D4" s="23" t="n">
        <v>10.7</v>
      </c>
      <c r="E4" s="23" t="n">
        <v>0</v>
      </c>
      <c r="F4" s="23" t="n">
        <v>0</v>
      </c>
      <c r="G4" s="23" t="n">
        <v>6.8</v>
      </c>
      <c r="H4" s="23" t="n">
        <v>7</v>
      </c>
      <c r="I4" s="23" t="n">
        <v>10</v>
      </c>
      <c r="J4" s="24" t="n">
        <f aca="false">SUM(D4:I4)</f>
        <v>34.5</v>
      </c>
      <c r="K4" s="18" t="n">
        <f aca="false">RANK(J4,$J$4:$J$11)</f>
        <v>5</v>
      </c>
      <c r="L4" s="25" t="n">
        <v>44</v>
      </c>
    </row>
    <row r="5" customFormat="false" ht="15" hidden="false" customHeight="true" outlineLevel="0" collapsed="false">
      <c r="A5" s="11" t="s">
        <v>30</v>
      </c>
      <c r="B5" s="12" t="n">
        <v>3006.57</v>
      </c>
      <c r="C5" s="13" t="n">
        <v>97.2</v>
      </c>
      <c r="D5" s="23" t="n">
        <v>4.3</v>
      </c>
      <c r="E5" s="23" t="n">
        <v>0</v>
      </c>
      <c r="F5" s="23" t="n">
        <v>0</v>
      </c>
      <c r="G5" s="23" t="n">
        <v>6.5</v>
      </c>
      <c r="H5" s="23" t="n">
        <v>7</v>
      </c>
      <c r="I5" s="23" t="n">
        <v>10</v>
      </c>
      <c r="J5" s="24" t="n">
        <f aca="false">SUM(D5:I5)</f>
        <v>27.8</v>
      </c>
      <c r="K5" s="18" t="n">
        <f aca="false">RANK(J5,$J$4:$J$11)</f>
        <v>6</v>
      </c>
      <c r="L5" s="25" t="n">
        <v>46</v>
      </c>
    </row>
    <row r="6" customFormat="false" ht="15" hidden="false" customHeight="true" outlineLevel="0" collapsed="false">
      <c r="A6" s="11" t="s">
        <v>32</v>
      </c>
      <c r="B6" s="12" t="n">
        <v>1885.73</v>
      </c>
      <c r="C6" s="13" t="n">
        <v>49.8</v>
      </c>
      <c r="D6" s="23" t="n">
        <v>19.2</v>
      </c>
      <c r="E6" s="23" t="n">
        <v>9.7</v>
      </c>
      <c r="F6" s="23" t="n">
        <v>20</v>
      </c>
      <c r="G6" s="23" t="n">
        <v>7.8</v>
      </c>
      <c r="H6" s="23" t="n">
        <v>15</v>
      </c>
      <c r="I6" s="23" t="n">
        <v>10</v>
      </c>
      <c r="J6" s="24" t="n">
        <f aca="false">SUM(D6:I6)</f>
        <v>81.7</v>
      </c>
      <c r="K6" s="18" t="n">
        <f aca="false">RANK(J6,$J$4:$J$11)</f>
        <v>1</v>
      </c>
      <c r="L6" s="25" t="n">
        <v>57</v>
      </c>
    </row>
    <row r="7" customFormat="false" ht="15" hidden="false" customHeight="true" outlineLevel="0" collapsed="false">
      <c r="A7" s="11" t="s">
        <v>34</v>
      </c>
      <c r="B7" s="12" t="n">
        <v>1139.54</v>
      </c>
      <c r="C7" s="13" t="n">
        <v>55.8</v>
      </c>
      <c r="D7" s="23" t="n">
        <v>2.5</v>
      </c>
      <c r="E7" s="23" t="n">
        <v>0</v>
      </c>
      <c r="F7" s="23" t="n">
        <v>0</v>
      </c>
      <c r="G7" s="23" t="n">
        <v>15</v>
      </c>
      <c r="H7" s="23" t="n">
        <v>7</v>
      </c>
      <c r="I7" s="23" t="n">
        <v>0</v>
      </c>
      <c r="J7" s="24" t="n">
        <f aca="false">SUM(D7:I7)</f>
        <v>24.5</v>
      </c>
      <c r="K7" s="18" t="n">
        <f aca="false">RANK(J7,$J$4:$J$11)</f>
        <v>7</v>
      </c>
      <c r="L7" s="25" t="n">
        <v>41</v>
      </c>
    </row>
    <row r="8" customFormat="false" ht="15" hidden="false" customHeight="true" outlineLevel="0" collapsed="false">
      <c r="A8" s="11" t="s">
        <v>33</v>
      </c>
      <c r="B8" s="12" t="n">
        <v>2156.23</v>
      </c>
      <c r="C8" s="13" t="n">
        <v>57.7</v>
      </c>
      <c r="D8" s="23" t="n">
        <v>1.7</v>
      </c>
      <c r="E8" s="23" t="n">
        <v>0</v>
      </c>
      <c r="F8" s="23" t="n">
        <v>20</v>
      </c>
      <c r="G8" s="23" t="n">
        <v>4.4</v>
      </c>
      <c r="H8" s="23" t="n">
        <v>15</v>
      </c>
      <c r="I8" s="23" t="n">
        <v>0</v>
      </c>
      <c r="J8" s="24" t="n">
        <f aca="false">SUM(D8:I8)</f>
        <v>41.1</v>
      </c>
      <c r="K8" s="18" t="n">
        <f aca="false">RANK(J8,$J$4:$J$11)</f>
        <v>4</v>
      </c>
      <c r="L8" s="25" t="n">
        <v>56</v>
      </c>
    </row>
    <row r="9" customFormat="false" ht="15" hidden="false" customHeight="true" outlineLevel="0" collapsed="false">
      <c r="A9" s="11" t="s">
        <v>38</v>
      </c>
      <c r="B9" s="12" t="n">
        <v>1380.61</v>
      </c>
      <c r="C9" s="13" t="n">
        <v>33.6</v>
      </c>
      <c r="D9" s="23" t="n">
        <v>16.1</v>
      </c>
      <c r="E9" s="23" t="n">
        <v>0</v>
      </c>
      <c r="F9" s="23" t="n">
        <v>20</v>
      </c>
      <c r="G9" s="23" t="n">
        <v>8</v>
      </c>
      <c r="H9" s="23" t="n">
        <v>15</v>
      </c>
      <c r="I9" s="23" t="n">
        <v>10</v>
      </c>
      <c r="J9" s="24" t="n">
        <f aca="false">SUM(D9:I9)</f>
        <v>69.1</v>
      </c>
      <c r="K9" s="18" t="n">
        <f aca="false">RANK(J9,$J$4:$J$11)</f>
        <v>2</v>
      </c>
      <c r="L9" s="25" t="n">
        <v>66</v>
      </c>
    </row>
    <row r="10" customFormat="false" ht="15" hidden="false" customHeight="true" outlineLevel="0" collapsed="false">
      <c r="A10" s="11" t="s">
        <v>39</v>
      </c>
      <c r="B10" s="12" t="n">
        <v>1249.91</v>
      </c>
      <c r="C10" s="13" t="n">
        <v>31.2</v>
      </c>
      <c r="D10" s="23" t="n">
        <v>9.3</v>
      </c>
      <c r="E10" s="23" t="n">
        <v>0</v>
      </c>
      <c r="F10" s="23" t="n">
        <v>10</v>
      </c>
      <c r="G10" s="23" t="n">
        <v>6.1</v>
      </c>
      <c r="H10" s="23" t="n">
        <v>7</v>
      </c>
      <c r="I10" s="23" t="n">
        <v>10</v>
      </c>
      <c r="J10" s="24" t="n">
        <f aca="false">SUM(D10:I10)</f>
        <v>42.4</v>
      </c>
      <c r="K10" s="18" t="n">
        <f aca="false">RANK(J10,$J$4:$J$11)</f>
        <v>3</v>
      </c>
      <c r="L10" s="25" t="n">
        <v>43</v>
      </c>
    </row>
    <row r="11" customFormat="false" ht="15" hidden="false" customHeight="true" outlineLevel="0" collapsed="false">
      <c r="A11" s="11" t="s">
        <v>37</v>
      </c>
      <c r="B11" s="12" t="n">
        <v>1886.16</v>
      </c>
      <c r="C11" s="13" t="n">
        <v>39.9</v>
      </c>
      <c r="D11" s="23" t="n">
        <v>3.6</v>
      </c>
      <c r="E11" s="23" t="n">
        <v>0</v>
      </c>
      <c r="F11" s="23" t="n">
        <v>0</v>
      </c>
      <c r="G11" s="23" t="n">
        <v>13</v>
      </c>
      <c r="H11" s="23" t="n">
        <v>7</v>
      </c>
      <c r="I11" s="23" t="n">
        <v>0</v>
      </c>
      <c r="J11" s="24" t="n">
        <f aca="false">SUM(D11:I11)</f>
        <v>23.6</v>
      </c>
      <c r="K11" s="18" t="n">
        <f aca="false">RANK(J11,$J$4:$J$11)</f>
        <v>8</v>
      </c>
      <c r="L11" s="25" t="n">
        <v>42</v>
      </c>
    </row>
    <row r="13" customFormat="false" ht="15" hidden="false" customHeight="true" outlineLevel="0" collapsed="false">
      <c r="A13" s="26" t="s">
        <v>102</v>
      </c>
      <c r="B13" s="26"/>
      <c r="C13" s="26"/>
      <c r="D13" s="26"/>
      <c r="E13" s="26"/>
      <c r="F13" s="26"/>
      <c r="G13" s="26"/>
      <c r="H13" s="26"/>
      <c r="I13" s="26"/>
      <c r="J13" s="26"/>
      <c r="K13" s="26"/>
      <c r="L13" s="26"/>
    </row>
  </sheetData>
  <mergeCells count="1">
    <mergeCell ref="A13:L13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G4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1" width="34"/>
    <col collapsed="false" customWidth="true" hidden="false" outlineLevel="0" max="3" min="2" style="1" width="11"/>
    <col collapsed="false" customWidth="true" hidden="false" outlineLevel="0" max="4" min="4" style="1" width="12"/>
    <col collapsed="false" customWidth="true" hidden="false" outlineLevel="0" max="5" min="5" style="1" width="14"/>
    <col collapsed="false" customWidth="true" hidden="false" outlineLevel="0" max="7" min="6" style="1" width="12"/>
  </cols>
  <sheetData>
    <row r="1" customFormat="false" ht="15" hidden="false" customHeight="true" outlineLevel="0" collapsed="false">
      <c r="A1" s="8" t="s">
        <v>103</v>
      </c>
      <c r="B1" s="8"/>
      <c r="C1" s="8"/>
      <c r="D1" s="8"/>
      <c r="E1" s="8"/>
      <c r="F1" s="8"/>
      <c r="G1" s="8"/>
    </row>
    <row r="3" customFormat="false" ht="15" hidden="false" customHeight="true" outlineLevel="0" collapsed="false">
      <c r="A3" s="21" t="s">
        <v>104</v>
      </c>
      <c r="B3" s="21"/>
      <c r="C3" s="21"/>
      <c r="D3" s="21"/>
      <c r="E3" s="21"/>
      <c r="F3" s="21"/>
      <c r="G3" s="21"/>
    </row>
    <row r="4" customFormat="false" ht="23.25" hidden="false" customHeight="true" outlineLevel="0" collapsed="false">
      <c r="A4" s="10" t="s">
        <v>105</v>
      </c>
      <c r="B4" s="10" t="s">
        <v>106</v>
      </c>
      <c r="C4" s="10" t="s">
        <v>107</v>
      </c>
      <c r="D4" s="10" t="s">
        <v>108</v>
      </c>
      <c r="E4" s="10" t="s">
        <v>109</v>
      </c>
      <c r="F4" s="10"/>
      <c r="G4" s="10"/>
    </row>
    <row r="5" customFormat="false" ht="15" hidden="false" customHeight="true" outlineLevel="0" collapsed="false">
      <c r="A5" s="9" t="s">
        <v>110</v>
      </c>
      <c r="B5" s="27" t="n">
        <v>1832</v>
      </c>
      <c r="C5" s="28" t="n">
        <v>0.486</v>
      </c>
      <c r="D5" s="29" t="n">
        <v>-0.00081</v>
      </c>
      <c r="E5" s="30" t="n">
        <f aca="false">D5*25000</f>
        <v>-20.25</v>
      </c>
    </row>
    <row r="6" customFormat="false" ht="15" hidden="false" customHeight="true" outlineLevel="0" collapsed="false">
      <c r="A6" s="9" t="s">
        <v>111</v>
      </c>
      <c r="B6" s="27" t="n">
        <v>973</v>
      </c>
      <c r="C6" s="28" t="n">
        <v>0.491</v>
      </c>
      <c r="D6" s="29" t="n">
        <v>-0.00105</v>
      </c>
      <c r="E6" s="30" t="n">
        <f aca="false">D6*25000</f>
        <v>-26.25</v>
      </c>
    </row>
    <row r="7" customFormat="false" ht="15" hidden="false" customHeight="true" outlineLevel="0" collapsed="false">
      <c r="A7" s="9" t="s">
        <v>112</v>
      </c>
      <c r="B7" s="27" t="n">
        <v>760</v>
      </c>
      <c r="C7" s="28" t="n">
        <v>0.482</v>
      </c>
      <c r="D7" s="29" t="n">
        <v>-0.00134</v>
      </c>
      <c r="E7" s="30" t="n">
        <f aca="false">D7*25000</f>
        <v>-33.5</v>
      </c>
    </row>
    <row r="8" customFormat="false" ht="15" hidden="false" customHeight="true" outlineLevel="0" collapsed="false">
      <c r="A8" s="9" t="s">
        <v>113</v>
      </c>
      <c r="B8" s="27" t="n">
        <v>493</v>
      </c>
      <c r="C8" s="28" t="n">
        <v>0.489</v>
      </c>
      <c r="D8" s="29" t="n">
        <v>-0.00094</v>
      </c>
      <c r="E8" s="30" t="n">
        <f aca="false">D8*25000</f>
        <v>-23.5</v>
      </c>
    </row>
    <row r="9" customFormat="false" ht="15" hidden="false" customHeight="true" outlineLevel="0" collapsed="false">
      <c r="A9" s="9" t="s">
        <v>114</v>
      </c>
      <c r="B9" s="27" t="n">
        <v>265</v>
      </c>
      <c r="C9" s="28" t="n">
        <v>0.472</v>
      </c>
      <c r="D9" s="29" t="n">
        <v>-0.0014</v>
      </c>
      <c r="E9" s="30" t="n">
        <f aca="false">D9*25000</f>
        <v>-35</v>
      </c>
    </row>
    <row r="10" customFormat="false" ht="15" hidden="false" customHeight="true" outlineLevel="0" collapsed="false">
      <c r="A10" s="31" t="s">
        <v>115</v>
      </c>
      <c r="B10" s="31"/>
      <c r="C10" s="31"/>
      <c r="D10" s="31"/>
      <c r="E10" s="31"/>
      <c r="F10" s="31"/>
      <c r="G10" s="31"/>
    </row>
    <row r="12" customFormat="false" ht="15" hidden="false" customHeight="true" outlineLevel="0" collapsed="false">
      <c r="A12" s="21" t="s">
        <v>116</v>
      </c>
      <c r="B12" s="21"/>
      <c r="C12" s="21"/>
      <c r="D12" s="21"/>
      <c r="E12" s="21"/>
      <c r="F12" s="21"/>
      <c r="G12" s="21"/>
    </row>
    <row r="13" customFormat="false" ht="23.25" hidden="false" customHeight="true" outlineLevel="0" collapsed="false">
      <c r="A13" s="10" t="s">
        <v>117</v>
      </c>
      <c r="B13" s="10" t="s">
        <v>106</v>
      </c>
      <c r="C13" s="10" t="s">
        <v>107</v>
      </c>
      <c r="D13" s="10" t="s">
        <v>108</v>
      </c>
      <c r="E13" s="10" t="s">
        <v>109</v>
      </c>
      <c r="F13" s="10" t="s">
        <v>118</v>
      </c>
      <c r="G13" s="10"/>
    </row>
    <row r="14" customFormat="false" ht="15" hidden="false" customHeight="true" outlineLevel="0" collapsed="false">
      <c r="A14" s="9" t="s">
        <v>119</v>
      </c>
      <c r="B14" s="27" t="n">
        <v>1832</v>
      </c>
      <c r="C14" s="28" t="n">
        <v>0.486</v>
      </c>
      <c r="D14" s="29" t="n">
        <v>-0.0009</v>
      </c>
      <c r="E14" s="30" t="n">
        <f aca="false">D14*25000</f>
        <v>-22.5</v>
      </c>
      <c r="F14" s="14" t="n">
        <v>0.0216</v>
      </c>
    </row>
    <row r="15" customFormat="false" ht="15" hidden="false" customHeight="true" outlineLevel="0" collapsed="false">
      <c r="A15" s="9" t="s">
        <v>120</v>
      </c>
      <c r="B15" s="27" t="n">
        <v>493</v>
      </c>
      <c r="C15" s="28" t="n">
        <v>0.483</v>
      </c>
      <c r="D15" s="29" t="n">
        <v>-0.00225</v>
      </c>
      <c r="E15" s="30" t="n">
        <f aca="false">D15*25000</f>
        <v>-56.25</v>
      </c>
      <c r="F15" s="14" t="n">
        <v>0.0212</v>
      </c>
    </row>
    <row r="16" customFormat="false" ht="15" hidden="false" customHeight="true" outlineLevel="0" collapsed="false">
      <c r="A16" s="9" t="s">
        <v>121</v>
      </c>
      <c r="B16" s="27" t="n">
        <v>607</v>
      </c>
      <c r="C16" s="28" t="n">
        <v>0.481</v>
      </c>
      <c r="D16" s="29" t="n">
        <v>-3E-005</v>
      </c>
      <c r="E16" s="30" t="n">
        <f aca="false">D16*25000</f>
        <v>-0.75</v>
      </c>
      <c r="F16" s="14" t="n">
        <v>0.0227</v>
      </c>
    </row>
    <row r="17" customFormat="false" ht="15" hidden="false" customHeight="true" outlineLevel="0" collapsed="false">
      <c r="A17" s="9" t="s">
        <v>122</v>
      </c>
      <c r="B17" s="27" t="n">
        <v>607</v>
      </c>
      <c r="C17" s="28" t="n">
        <v>0.466</v>
      </c>
      <c r="D17" s="29" t="n">
        <v>-0.00115</v>
      </c>
      <c r="E17" s="30" t="n">
        <f aca="false">D17*25000</f>
        <v>-28.75</v>
      </c>
      <c r="F17" s="14" t="n">
        <v>0.0198</v>
      </c>
    </row>
    <row r="18" customFormat="false" ht="15" hidden="false" customHeight="true" outlineLevel="0" collapsed="false">
      <c r="A18" s="9" t="s">
        <v>123</v>
      </c>
      <c r="B18" s="27" t="n">
        <v>251</v>
      </c>
      <c r="C18" s="28" t="n">
        <v>0.51</v>
      </c>
      <c r="D18" s="29" t="n">
        <v>-0.00015</v>
      </c>
      <c r="E18" s="30" t="n">
        <f aca="false">D18*25000</f>
        <v>-3.75</v>
      </c>
      <c r="F18" s="14" t="n">
        <v>0.0202</v>
      </c>
    </row>
    <row r="19" customFormat="false" ht="15" hidden="false" customHeight="true" outlineLevel="0" collapsed="false">
      <c r="A19" s="9" t="s">
        <v>124</v>
      </c>
      <c r="B19" s="27" t="n">
        <v>219</v>
      </c>
      <c r="C19" s="28" t="n">
        <v>0.443</v>
      </c>
      <c r="D19" s="29" t="n">
        <v>-0.00231</v>
      </c>
      <c r="E19" s="30" t="n">
        <f aca="false">D19*25000</f>
        <v>-57.75</v>
      </c>
      <c r="F19" s="14" t="n">
        <v>0.0152</v>
      </c>
    </row>
    <row r="21" customFormat="false" ht="15" hidden="false" customHeight="true" outlineLevel="0" collapsed="false">
      <c r="A21" s="21" t="s">
        <v>125</v>
      </c>
      <c r="B21" s="21"/>
      <c r="C21" s="21"/>
      <c r="D21" s="21"/>
      <c r="E21" s="21"/>
      <c r="F21" s="21"/>
      <c r="G21" s="21"/>
    </row>
    <row r="22" customFormat="false" ht="23.25" hidden="false" customHeight="true" outlineLevel="0" collapsed="false">
      <c r="A22" s="10" t="s">
        <v>18</v>
      </c>
      <c r="B22" s="10" t="s">
        <v>106</v>
      </c>
      <c r="C22" s="10" t="s">
        <v>107</v>
      </c>
      <c r="D22" s="10" t="s">
        <v>108</v>
      </c>
      <c r="E22" s="10" t="s">
        <v>126</v>
      </c>
      <c r="F22" s="10" t="s">
        <v>127</v>
      </c>
      <c r="G22" s="10" t="s">
        <v>128</v>
      </c>
    </row>
    <row r="23" customFormat="false" ht="15" hidden="false" customHeight="true" outlineLevel="0" collapsed="false">
      <c r="A23" s="11" t="s">
        <v>26</v>
      </c>
      <c r="B23" s="25" t="n">
        <v>65</v>
      </c>
      <c r="C23" s="28" t="n">
        <v>0.431</v>
      </c>
      <c r="D23" s="29" t="n">
        <v>-0.00162</v>
      </c>
      <c r="E23" s="14" t="n">
        <v>0.0451</v>
      </c>
      <c r="F23" s="14" t="n">
        <v>-0.0442</v>
      </c>
      <c r="G23" s="30" t="n">
        <f aca="false">F23*25000</f>
        <v>-1105</v>
      </c>
    </row>
    <row r="24" customFormat="false" ht="15" hidden="false" customHeight="true" outlineLevel="0" collapsed="false">
      <c r="A24" s="11" t="s">
        <v>30</v>
      </c>
      <c r="B24" s="25" t="n">
        <v>52</v>
      </c>
      <c r="C24" s="28" t="n">
        <v>0.558</v>
      </c>
      <c r="D24" s="29" t="n">
        <v>0.00198</v>
      </c>
      <c r="E24" s="14" t="n">
        <v>0.0318</v>
      </c>
      <c r="F24" s="14" t="n">
        <v>-0.0343</v>
      </c>
      <c r="G24" s="30" t="n">
        <f aca="false">F24*25000</f>
        <v>-857.5</v>
      </c>
    </row>
    <row r="25" customFormat="false" ht="15" hidden="false" customHeight="true" outlineLevel="0" collapsed="false">
      <c r="A25" s="11" t="s">
        <v>32</v>
      </c>
      <c r="B25" s="25" t="n">
        <v>51</v>
      </c>
      <c r="C25" s="28" t="n">
        <v>0.471</v>
      </c>
      <c r="D25" s="29" t="n">
        <v>-0.00269</v>
      </c>
      <c r="E25" s="14" t="n">
        <v>0.0675</v>
      </c>
      <c r="F25" s="14" t="n">
        <v>-0.061</v>
      </c>
      <c r="G25" s="30" t="n">
        <f aca="false">F25*25000</f>
        <v>-1525</v>
      </c>
    </row>
    <row r="26" customFormat="false" ht="15" hidden="false" customHeight="true" outlineLevel="0" collapsed="false">
      <c r="A26" s="11" t="s">
        <v>34</v>
      </c>
      <c r="B26" s="25" t="n">
        <v>59</v>
      </c>
      <c r="C26" s="28" t="n">
        <v>0.508</v>
      </c>
      <c r="D26" s="29" t="n">
        <v>-0.00063</v>
      </c>
      <c r="E26" s="14" t="n">
        <v>0.0796</v>
      </c>
      <c r="F26" s="14" t="n">
        <v>-0.1034</v>
      </c>
      <c r="G26" s="30" t="n">
        <f aca="false">F26*25000</f>
        <v>-2585</v>
      </c>
    </row>
    <row r="27" customFormat="false" ht="15" hidden="false" customHeight="true" outlineLevel="0" collapsed="false">
      <c r="A27" s="11" t="s">
        <v>33</v>
      </c>
      <c r="B27" s="25" t="n">
        <v>69</v>
      </c>
      <c r="C27" s="28" t="n">
        <v>0.464</v>
      </c>
      <c r="D27" s="29" t="n">
        <v>-0.00275</v>
      </c>
      <c r="E27" s="14" t="n">
        <v>0.0216</v>
      </c>
      <c r="F27" s="14" t="n">
        <v>-0.0394</v>
      </c>
      <c r="G27" s="30" t="n">
        <f aca="false">F27*25000</f>
        <v>-985</v>
      </c>
    </row>
    <row r="28" customFormat="false" ht="15" hidden="false" customHeight="true" outlineLevel="0" collapsed="false">
      <c r="A28" s="11" t="s">
        <v>38</v>
      </c>
      <c r="B28" s="25" t="n">
        <v>75</v>
      </c>
      <c r="C28" s="28" t="n">
        <v>0.467</v>
      </c>
      <c r="D28" s="29" t="n">
        <v>0.00129</v>
      </c>
      <c r="E28" s="14" t="n">
        <v>0.0411</v>
      </c>
      <c r="F28" s="14" t="n">
        <v>-0.0332</v>
      </c>
      <c r="G28" s="30" t="n">
        <f aca="false">F28*25000</f>
        <v>-830</v>
      </c>
    </row>
    <row r="29" customFormat="false" ht="15" hidden="false" customHeight="true" outlineLevel="0" collapsed="false">
      <c r="A29" s="11" t="s">
        <v>39</v>
      </c>
      <c r="B29" s="25" t="n">
        <v>62</v>
      </c>
      <c r="C29" s="28" t="n">
        <v>0.468</v>
      </c>
      <c r="D29" s="29" t="n">
        <v>-0.00358</v>
      </c>
      <c r="E29" s="14" t="n">
        <v>0.0217</v>
      </c>
      <c r="F29" s="14" t="n">
        <v>-0.0557</v>
      </c>
      <c r="G29" s="30" t="n">
        <f aca="false">F29*25000</f>
        <v>-1392.5</v>
      </c>
    </row>
    <row r="30" customFormat="false" ht="15" hidden="false" customHeight="true" outlineLevel="0" collapsed="false">
      <c r="A30" s="11" t="s">
        <v>37</v>
      </c>
      <c r="B30" s="25" t="n">
        <v>60</v>
      </c>
      <c r="C30" s="28" t="n">
        <v>0.567</v>
      </c>
      <c r="D30" s="29" t="n">
        <v>0.00045</v>
      </c>
      <c r="E30" s="14" t="n">
        <v>0.0199</v>
      </c>
      <c r="F30" s="14" t="n">
        <v>-0.0233</v>
      </c>
      <c r="G30" s="30" t="n">
        <f aca="false">F30*25000</f>
        <v>-582.5</v>
      </c>
    </row>
    <row r="31" customFormat="false" ht="15" hidden="false" customHeight="true" outlineLevel="0" collapsed="false">
      <c r="A31" s="17" t="s">
        <v>129</v>
      </c>
      <c r="B31" s="17"/>
      <c r="C31" s="17"/>
      <c r="D31" s="17"/>
      <c r="E31" s="17"/>
      <c r="F31" s="17"/>
      <c r="G31" s="17"/>
    </row>
    <row r="33" customFormat="false" ht="15" hidden="false" customHeight="true" outlineLevel="0" collapsed="false">
      <c r="A33" s="31" t="s">
        <v>130</v>
      </c>
      <c r="B33" s="31"/>
      <c r="C33" s="31"/>
      <c r="D33" s="31"/>
      <c r="E33" s="31"/>
      <c r="F33" s="31"/>
      <c r="G33" s="31"/>
    </row>
    <row r="35" customFormat="false" ht="15" hidden="false" customHeight="false" outlineLevel="0" collapsed="false">
      <c r="A35" s="32" t="s">
        <v>131</v>
      </c>
      <c r="B35" s="32"/>
      <c r="C35" s="32"/>
      <c r="D35" s="32"/>
      <c r="E35" s="32"/>
      <c r="F35" s="32"/>
      <c r="G35" s="32"/>
    </row>
    <row r="36" customFormat="false" ht="15" hidden="false" customHeight="false" outlineLevel="0" collapsed="false">
      <c r="A36" s="33" t="s">
        <v>132</v>
      </c>
      <c r="B36" s="33" t="s">
        <v>117</v>
      </c>
      <c r="C36" s="33" t="s">
        <v>106</v>
      </c>
      <c r="D36" s="33" t="s">
        <v>107</v>
      </c>
      <c r="E36" s="33" t="s">
        <v>108</v>
      </c>
      <c r="F36" s="33" t="s">
        <v>109</v>
      </c>
      <c r="G36" s="33"/>
    </row>
    <row r="37" customFormat="false" ht="15" hidden="false" customHeight="false" outlineLevel="0" collapsed="false">
      <c r="A37" s="34" t="s">
        <v>133</v>
      </c>
      <c r="B37" s="34" t="s">
        <v>134</v>
      </c>
      <c r="C37" s="35" t="n">
        <v>37</v>
      </c>
      <c r="D37" s="36" t="n">
        <v>0.541</v>
      </c>
      <c r="E37" s="37" t="n">
        <v>-0.00094</v>
      </c>
      <c r="F37" s="38" t="n">
        <f aca="false">E37*25000</f>
        <v>-23.5</v>
      </c>
    </row>
    <row r="38" customFormat="false" ht="15" hidden="false" customHeight="false" outlineLevel="0" collapsed="false">
      <c r="A38" s="34" t="s">
        <v>133</v>
      </c>
      <c r="B38" s="34" t="s">
        <v>110</v>
      </c>
      <c r="C38" s="35" t="n">
        <v>120</v>
      </c>
      <c r="D38" s="36" t="n">
        <v>0.475</v>
      </c>
      <c r="E38" s="37" t="n">
        <v>-9E-005</v>
      </c>
      <c r="F38" s="38" t="n">
        <f aca="false">E38*25000</f>
        <v>-2.25</v>
      </c>
    </row>
    <row r="39" customFormat="false" ht="15" hidden="false" customHeight="false" outlineLevel="0" collapsed="false">
      <c r="A39" s="34" t="s">
        <v>135</v>
      </c>
      <c r="B39" s="34" t="s">
        <v>134</v>
      </c>
      <c r="C39" s="35" t="n">
        <v>20</v>
      </c>
      <c r="D39" s="36" t="n">
        <v>0.6</v>
      </c>
      <c r="E39" s="37" t="n">
        <v>0.00057</v>
      </c>
      <c r="F39" s="38" t="n">
        <f aca="false">E39*25000</f>
        <v>14.25</v>
      </c>
    </row>
    <row r="40" customFormat="false" ht="15" hidden="false" customHeight="false" outlineLevel="0" collapsed="false">
      <c r="A40" s="34" t="s">
        <v>135</v>
      </c>
      <c r="B40" s="34" t="s">
        <v>110</v>
      </c>
      <c r="C40" s="35" t="n">
        <v>40</v>
      </c>
      <c r="D40" s="36" t="n">
        <v>0.575</v>
      </c>
      <c r="E40" s="37" t="n">
        <v>0.00265</v>
      </c>
      <c r="F40" s="38" t="n">
        <f aca="false">E40*25000</f>
        <v>66.25</v>
      </c>
    </row>
    <row r="41" customFormat="false" ht="30" hidden="false" customHeight="true" outlineLevel="0" collapsed="false">
      <c r="A41" s="39" t="s">
        <v>136</v>
      </c>
      <c r="B41" s="39"/>
      <c r="C41" s="39"/>
      <c r="D41" s="39"/>
      <c r="E41" s="39"/>
      <c r="F41" s="39"/>
      <c r="G41" s="39"/>
    </row>
  </sheetData>
  <mergeCells count="9">
    <mergeCell ref="A1:G1"/>
    <mergeCell ref="A3:G3"/>
    <mergeCell ref="A10:G10"/>
    <mergeCell ref="A12:G12"/>
    <mergeCell ref="A21:G21"/>
    <mergeCell ref="A31:G31"/>
    <mergeCell ref="A33:G33"/>
    <mergeCell ref="A35:G35"/>
    <mergeCell ref="A41:G41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D14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1" width="46"/>
    <col collapsed="false" customWidth="true" hidden="false" outlineLevel="0" max="3" min="2" style="1" width="16"/>
    <col collapsed="false" customWidth="true" hidden="false" outlineLevel="0" max="4" min="4" style="1" width="40"/>
  </cols>
  <sheetData>
    <row r="1" customFormat="false" ht="15" hidden="false" customHeight="true" outlineLevel="0" collapsed="false">
      <c r="A1" s="8" t="s">
        <v>137</v>
      </c>
    </row>
    <row r="2" customFormat="false" ht="15" hidden="false" customHeight="true" outlineLevel="0" collapsed="false">
      <c r="A2" s="8" t="s">
        <v>138</v>
      </c>
      <c r="B2" s="40" t="n">
        <v>25000</v>
      </c>
      <c r="D2" s="16" t="s">
        <v>139</v>
      </c>
    </row>
    <row r="3" customFormat="false" ht="15" hidden="false" customHeight="true" outlineLevel="0" collapsed="false">
      <c r="A3" s="8" t="s">
        <v>140</v>
      </c>
      <c r="B3" s="41" t="n">
        <v>0.01</v>
      </c>
      <c r="D3" s="16" t="s">
        <v>141</v>
      </c>
    </row>
    <row r="4" customFormat="false" ht="15" hidden="false" customHeight="true" outlineLevel="0" collapsed="false">
      <c r="A4" s="8" t="s">
        <v>142</v>
      </c>
      <c r="B4" s="42" t="n">
        <f aca="false">B2*B3</f>
        <v>250</v>
      </c>
      <c r="D4" s="16" t="s">
        <v>143</v>
      </c>
    </row>
    <row r="5" customFormat="false" ht="15" hidden="false" customHeight="true" outlineLevel="0" collapsed="false">
      <c r="A5" s="8" t="s">
        <v>144</v>
      </c>
      <c r="B5" s="12" t="n">
        <v>6288.68</v>
      </c>
      <c r="D5" s="16" t="s">
        <v>145</v>
      </c>
    </row>
    <row r="6" customFormat="false" ht="15" hidden="false" customHeight="true" outlineLevel="0" collapsed="false">
      <c r="A6" s="8" t="s">
        <v>146</v>
      </c>
      <c r="B6" s="18" t="n">
        <f aca="false">ROUNDDOWN(B2/B5,0)</f>
        <v>3</v>
      </c>
      <c r="D6" s="16" t="s">
        <v>147</v>
      </c>
    </row>
    <row r="7" customFormat="false" ht="15" hidden="false" customHeight="true" outlineLevel="0" collapsed="false">
      <c r="A7" s="8" t="s">
        <v>148</v>
      </c>
      <c r="B7" s="15" t="n">
        <v>200.8</v>
      </c>
      <c r="D7" s="16" t="s">
        <v>149</v>
      </c>
    </row>
    <row r="8" customFormat="false" ht="15" hidden="false" customHeight="true" outlineLevel="0" collapsed="false">
      <c r="A8" s="8" t="s">
        <v>150</v>
      </c>
      <c r="B8" s="42" t="n">
        <f aca="false">B2*0.02</f>
        <v>500</v>
      </c>
      <c r="D8" s="16" t="s">
        <v>151</v>
      </c>
    </row>
    <row r="10" customFormat="false" ht="42" hidden="false" customHeight="true" outlineLevel="0" collapsed="false">
      <c r="A10" s="19" t="s">
        <v>152</v>
      </c>
      <c r="B10" s="19"/>
      <c r="C10" s="19"/>
      <c r="D10" s="19"/>
    </row>
    <row r="11" customFormat="false" ht="42" hidden="false" customHeight="true" outlineLevel="0" collapsed="false">
      <c r="A11" s="19" t="s">
        <v>153</v>
      </c>
      <c r="B11" s="19"/>
      <c r="C11" s="19"/>
      <c r="D11" s="19"/>
    </row>
    <row r="12" customFormat="false" ht="42" hidden="false" customHeight="true" outlineLevel="0" collapsed="false">
      <c r="A12" s="19" t="s">
        <v>154</v>
      </c>
      <c r="B12" s="19"/>
      <c r="C12" s="19"/>
      <c r="D12" s="19"/>
    </row>
    <row r="13" customFormat="false" ht="42" hidden="false" customHeight="true" outlineLevel="0" collapsed="false">
      <c r="A13" s="19" t="s">
        <v>155</v>
      </c>
      <c r="B13" s="19"/>
      <c r="C13" s="19"/>
      <c r="D13" s="19"/>
    </row>
    <row r="14" customFormat="false" ht="42" hidden="false" customHeight="true" outlineLevel="0" collapsed="false">
      <c r="A14" s="19" t="s">
        <v>156</v>
      </c>
      <c r="B14" s="19"/>
      <c r="C14" s="19"/>
      <c r="D14" s="19"/>
    </row>
  </sheetData>
  <mergeCells count="5">
    <mergeCell ref="A10:D10"/>
    <mergeCell ref="A11:D11"/>
    <mergeCell ref="A12:D12"/>
    <mergeCell ref="A13:D13"/>
    <mergeCell ref="A14:D14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LibreOffice/26.2.4.2$Linux_AARCH64 LibreOffice_project/620$Build-2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2026-07-31T02:42:14Z</dcterms:created>
  <dc:creator>openpyxl</dc:creator>
  <dc:description/>
  <dc:language>en-US</dc:language>
  <cp:lastModifiedBy/>
  <dcterms:modified xsi:type="dcterms:W3CDTF">2026-07-31T02:52:31Z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